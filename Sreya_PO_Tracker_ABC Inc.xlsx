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reya\Downloads\"/>
    </mc:Choice>
  </mc:AlternateContent>
  <xr:revisionPtr revIDLastSave="0" documentId="8_{BAF5F043-95CF-4DCE-ABC9-6F0EE4C033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 Tracker" sheetId="1" r:id="rId1"/>
    <sheet name="Dashboard" sheetId="2" r:id="rId2"/>
    <sheet name="Vendor 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L18" i="1"/>
  <c r="G18" i="1"/>
  <c r="L17" i="1"/>
  <c r="G17" i="1"/>
  <c r="D21" i="2" s="1"/>
  <c r="L16" i="1"/>
  <c r="G16" i="1"/>
  <c r="L15" i="1"/>
  <c r="G15" i="1"/>
  <c r="D23" i="2" s="1"/>
  <c r="L14" i="1"/>
  <c r="G14" i="1"/>
  <c r="L13" i="1"/>
  <c r="J15" i="2" s="1"/>
  <c r="G13" i="1"/>
  <c r="L12" i="1"/>
  <c r="G12" i="1"/>
  <c r="L11" i="1"/>
  <c r="J14" i="2" s="1"/>
  <c r="G11" i="1"/>
  <c r="L10" i="1"/>
  <c r="G10" i="1"/>
  <c r="L9" i="1"/>
  <c r="J13" i="2" s="1"/>
  <c r="G9" i="1"/>
  <c r="D13" i="2" s="1"/>
  <c r="L8" i="1"/>
  <c r="G8" i="1"/>
  <c r="L7" i="1"/>
  <c r="J12" i="2" s="1"/>
  <c r="G7" i="1"/>
  <c r="D15" i="2" s="1"/>
  <c r="L6" i="1"/>
  <c r="F5" i="2" s="1"/>
  <c r="G6" i="1"/>
  <c r="L5" i="1"/>
  <c r="G5" i="1"/>
  <c r="L4" i="1"/>
  <c r="G4" i="1"/>
  <c r="D26" i="2"/>
  <c r="C26" i="2"/>
  <c r="D25" i="2"/>
  <c r="C25" i="2"/>
  <c r="D24" i="2"/>
  <c r="C24" i="2"/>
  <c r="C23" i="2"/>
  <c r="C22" i="2"/>
  <c r="C21" i="2"/>
  <c r="D20" i="2"/>
  <c r="C20" i="2"/>
  <c r="C27" i="2" s="1"/>
  <c r="C15" i="2"/>
  <c r="C14" i="2"/>
  <c r="C13" i="2"/>
  <c r="D12" i="2"/>
  <c r="C12" i="2"/>
  <c r="C16" i="2" s="1"/>
  <c r="F8" i="2"/>
  <c r="D8" i="2"/>
  <c r="B8" i="2"/>
  <c r="H5" i="2"/>
  <c r="B5" i="2"/>
  <c r="D5" i="2" l="1"/>
  <c r="D14" i="2"/>
  <c r="E14" i="2" s="1"/>
  <c r="D22" i="2"/>
  <c r="E22" i="2" s="1"/>
  <c r="H8" i="2"/>
  <c r="E26" i="2" l="1"/>
  <c r="E25" i="2"/>
  <c r="E24" i="2"/>
  <c r="D27" i="2"/>
  <c r="D16" i="2"/>
  <c r="E21" i="2"/>
  <c r="E13" i="2"/>
  <c r="E20" i="2"/>
  <c r="E12" i="2"/>
  <c r="E15" i="2"/>
  <c r="E23" i="2"/>
  <c r="E16" i="2" l="1"/>
</calcChain>
</file>

<file path=xl/sharedStrings.xml><?xml version="1.0" encoding="utf-8"?>
<sst xmlns="http://schemas.openxmlformats.org/spreadsheetml/2006/main" count="309" uniqueCount="179">
  <si>
    <t>PROCUREMENT DASHBOARD — SUMMARY &amp; KPIs</t>
  </si>
  <si>
    <t>As of: 26 March 2026   ·   Auto-calculated from PO Tracker sheet</t>
  </si>
  <si>
    <t>Total POs</t>
  </si>
  <si>
    <t>Total Spend (₹)</t>
  </si>
  <si>
    <t>Overdue POs</t>
  </si>
  <si>
    <t>Backorders</t>
  </si>
  <si>
    <t>Delivered</t>
  </si>
  <si>
    <t>Acknowledged</t>
  </si>
  <si>
    <t>Open Orders</t>
  </si>
  <si>
    <t>Avg Order Value</t>
  </si>
  <si>
    <t>STATUS BREAKDOWN</t>
  </si>
  <si>
    <t>OVERDUE / BACKORDER ALERTS</t>
  </si>
  <si>
    <t>Status</t>
  </si>
  <si>
    <t>Count</t>
  </si>
  <si>
    <t>Total Value (₹)</t>
  </si>
  <si>
    <t>% of Spend</t>
  </si>
  <si>
    <t>PO Number</t>
  </si>
  <si>
    <t>Vendor</t>
  </si>
  <si>
    <t>Days Late</t>
  </si>
  <si>
    <t>PO-10004</t>
  </si>
  <si>
    <t>Molex Connectors</t>
  </si>
  <si>
    <t>Backorder</t>
  </si>
  <si>
    <t>Open</t>
  </si>
  <si>
    <t>PO-10006</t>
  </si>
  <si>
    <t>Infineon Tech</t>
  </si>
  <si>
    <t>PO-10008</t>
  </si>
  <si>
    <t>Bourns Inc</t>
  </si>
  <si>
    <t>PO-10010</t>
  </si>
  <si>
    <t>STMicroelectronics</t>
  </si>
  <si>
    <t>TOTAL</t>
  </si>
  <si>
    <t>SPEND BY CATEGORY</t>
  </si>
  <si>
    <t>HOW TO USE THIS TRACKER</t>
  </si>
  <si>
    <t>Category</t>
  </si>
  <si>
    <t>PO Count</t>
  </si>
  <si>
    <t>% of Total</t>
  </si>
  <si>
    <t>1.</t>
  </si>
  <si>
    <t>Go to 'PO Tracker' tab to view / add purchase orders</t>
  </si>
  <si>
    <t>Cables</t>
  </si>
  <si>
    <t>2.</t>
  </si>
  <si>
    <t>Enter PO details — status updates drive dashboard automatically</t>
  </si>
  <si>
    <t>Components</t>
  </si>
  <si>
    <t>3.</t>
  </si>
  <si>
    <t>Red rows = Backorder or Overdue — requires immediate buyer action</t>
  </si>
  <si>
    <t>Connectors</t>
  </si>
  <si>
    <t>4.</t>
  </si>
  <si>
    <t>Green rows = Delivered — 3-way match can be initiated</t>
  </si>
  <si>
    <t>ICs</t>
  </si>
  <si>
    <t>5.</t>
  </si>
  <si>
    <t>Blue rows = Acknowledged — monitor for delivery</t>
  </si>
  <si>
    <t>Memory</t>
  </si>
  <si>
    <t>6.</t>
  </si>
  <si>
    <t>Days Overdue column auto-calculates from today's date</t>
  </si>
  <si>
    <t>Power</t>
  </si>
  <si>
    <t>7.</t>
  </si>
  <si>
    <t>Dashboard KPIs refresh automatically as data changes</t>
  </si>
  <si>
    <t>Protection</t>
  </si>
  <si>
    <t>8.</t>
  </si>
  <si>
    <t>In SAP: ME21N=Create PO · MIGO=Goods Receipt · ME2M=Open POs</t>
  </si>
  <si>
    <t>100.0%</t>
  </si>
  <si>
    <t>PURCHASE ORDER TRACKER — ADI PROCUREMENT PROJECT</t>
  </si>
  <si>
    <t>Sreya Ghosh  ·  Procurement Operations Practice Model  ·  2026</t>
  </si>
  <si>
    <t>Vendor Name</t>
  </si>
  <si>
    <t>Item Description</t>
  </si>
  <si>
    <t>Qty Ordered</t>
  </si>
  <si>
    <t>Unit Price (₹)</t>
  </si>
  <si>
    <t>Order Date</t>
  </si>
  <si>
    <t>Expected Delivery</t>
  </si>
  <si>
    <t>Actual Delivery</t>
  </si>
  <si>
    <t>Days Overdue</t>
  </si>
  <si>
    <t>Remarks</t>
  </si>
  <si>
    <t>PO-10001</t>
  </si>
  <si>
    <t>Murata Electronics</t>
  </si>
  <si>
    <t>Capacitor 100nF SMD</t>
  </si>
  <si>
    <t>24-Feb-2026</t>
  </si>
  <si>
    <t>21-Mar-2026</t>
  </si>
  <si>
    <t>20-Mar-2026</t>
  </si>
  <si>
    <t>Delivered on time</t>
  </si>
  <si>
    <t>PO-10002</t>
  </si>
  <si>
    <t>Texas Instruments</t>
  </si>
  <si>
    <t>IC Op-Amp TL072</t>
  </si>
  <si>
    <t>26-Feb-2026</t>
  </si>
  <si>
    <t>23-Mar-2026</t>
  </si>
  <si>
    <t>22-Mar-2026</t>
  </si>
  <si>
    <t>Early delivery</t>
  </si>
  <si>
    <t>PO-10003</t>
  </si>
  <si>
    <t>Vishay Components</t>
  </si>
  <si>
    <t>Resistor 10K 0603</t>
  </si>
  <si>
    <t>01-Mar-2026</t>
  </si>
  <si>
    <t>28-Mar-2026</t>
  </si>
  <si>
    <t>On track</t>
  </si>
  <si>
    <t>JST 2-pin Connector</t>
  </si>
  <si>
    <t>04-Mar-2026</t>
  </si>
  <si>
    <t>25-Mar-2026</t>
  </si>
  <si>
    <t>Supplier short by 1200 units — escalated</t>
  </si>
  <si>
    <t>PO-10005</t>
  </si>
  <si>
    <t>Samsung Semicon</t>
  </si>
  <si>
    <t>NAND Flash 4GB</t>
  </si>
  <si>
    <t>06-Mar-2026</t>
  </si>
  <si>
    <t>27-Mar-2026</t>
  </si>
  <si>
    <t>Confirmed by supplier 20-Mar</t>
  </si>
  <si>
    <t>IGBT Module 600V</t>
  </si>
  <si>
    <t>08-Mar-2026</t>
  </si>
  <si>
    <t>Overdue — follow up initiated</t>
  </si>
  <si>
    <t>PO-10007</t>
  </si>
  <si>
    <t>Amphenol Corp</t>
  </si>
  <si>
    <t>RF Coaxial Cable 1m</t>
  </si>
  <si>
    <t>11-Mar-2026</t>
  </si>
  <si>
    <t>29-Mar-2026</t>
  </si>
  <si>
    <t>Supplier ack 22-Mar, on schedule</t>
  </si>
  <si>
    <t>Inductor 100uH</t>
  </si>
  <si>
    <t>14-Mar-2026</t>
  </si>
  <si>
    <t>24-Mar-2026</t>
  </si>
  <si>
    <t>Vendor capacity issue — alt sourcing in progress</t>
  </si>
  <si>
    <t>PO-10009</t>
  </si>
  <si>
    <t>TE Connectivity</t>
  </si>
  <si>
    <t>Terminal Block 4-way</t>
  </si>
  <si>
    <t>16-Mar-2026</t>
  </si>
  <si>
    <t>31-Mar-2026</t>
  </si>
  <si>
    <t>Within lead time</t>
  </si>
  <si>
    <t>MCU STM32F103</t>
  </si>
  <si>
    <t>18-Mar-2026</t>
  </si>
  <si>
    <t>Overdue — escalated to category manager</t>
  </si>
  <si>
    <t>PO-10011</t>
  </si>
  <si>
    <t>Panasonic Corp</t>
  </si>
  <si>
    <t>Electrolytic Cap 470uF</t>
  </si>
  <si>
    <t>30-Mar-2026</t>
  </si>
  <si>
    <t>PO-10012</t>
  </si>
  <si>
    <t>NXP Semiconductors</t>
  </si>
  <si>
    <t>CAN Bus Transceiver</t>
  </si>
  <si>
    <t>PO acknowledged, delivery confirmed</t>
  </si>
  <si>
    <t>PO-10013</t>
  </si>
  <si>
    <t>Wuerth Elektronik</t>
  </si>
  <si>
    <t>EMI Filter SMD</t>
  </si>
  <si>
    <t>02-Apr-2026</t>
  </si>
  <si>
    <t>New vendor — monitoring closely</t>
  </si>
  <si>
    <t>PO-10014</t>
  </si>
  <si>
    <t>Kemet Electronics</t>
  </si>
  <si>
    <t>Film Capacitor 1uF</t>
  </si>
  <si>
    <t>05-Apr-2026</t>
  </si>
  <si>
    <t>Adequate lead time</t>
  </si>
  <si>
    <t>PO-10015</t>
  </si>
  <si>
    <t>Littelfuse Inc</t>
  </si>
  <si>
    <t>Fuse 2A 250V</t>
  </si>
  <si>
    <t>07-Apr-2026</t>
  </si>
  <si>
    <t>Standard order</t>
  </si>
  <si>
    <t>LEGEND:</t>
  </si>
  <si>
    <t>Backorder / Overdue</t>
  </si>
  <si>
    <t>VENDOR MASTER LIST — APPROVED SUPPLIERS</t>
  </si>
  <si>
    <t>Vendor ID</t>
  </si>
  <si>
    <t>Country</t>
  </si>
  <si>
    <t>Lead Time (days)</t>
  </si>
  <si>
    <t>Payment Terms</t>
  </si>
  <si>
    <t>V-001</t>
  </si>
  <si>
    <t>Japan</t>
  </si>
  <si>
    <t>Net 30</t>
  </si>
  <si>
    <t>Active</t>
  </si>
  <si>
    <t>V-002</t>
  </si>
  <si>
    <t>USA</t>
  </si>
  <si>
    <t>Net 45</t>
  </si>
  <si>
    <t>V-003</t>
  </si>
  <si>
    <t>V-004</t>
  </si>
  <si>
    <t>V-005</t>
  </si>
  <si>
    <t>South Korea</t>
  </si>
  <si>
    <t>Net 60</t>
  </si>
  <si>
    <t>V-006</t>
  </si>
  <si>
    <t>Germany</t>
  </si>
  <si>
    <t>V-007</t>
  </si>
  <si>
    <t>V-008</t>
  </si>
  <si>
    <t>On Hold</t>
  </si>
  <si>
    <t>V-009</t>
  </si>
  <si>
    <t>Switzerland</t>
  </si>
  <si>
    <t>V-010</t>
  </si>
  <si>
    <t>V-011</t>
  </si>
  <si>
    <t>V-012</t>
  </si>
  <si>
    <t>Netherlands</t>
  </si>
  <si>
    <t>V-013</t>
  </si>
  <si>
    <t>V-014</t>
  </si>
  <si>
    <t>V-015</t>
  </si>
  <si>
    <t>Active Vendors: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</si>
</sst>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888888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sz val="9"/>
      <color rgb="FF1A1A1A"/>
      <name val="Arial"/>
    </font>
    <font>
      <b/>
      <sz val="14"/>
      <color rgb="FF1F3864"/>
      <name val="Arial"/>
    </font>
    <font>
      <b/>
      <sz val="14"/>
      <color rgb="FF1A6B3C"/>
      <name val="Arial"/>
    </font>
    <font>
      <b/>
      <sz val="14"/>
      <color rgb="FFC0392B"/>
      <name val="Arial"/>
    </font>
    <font>
      <b/>
      <sz val="14"/>
      <color rgb="FFE67E22"/>
      <name val="Arial"/>
    </font>
    <font>
      <b/>
      <sz val="14"/>
      <color rgb="FF2471A3"/>
      <name val="Arial"/>
    </font>
    <font>
      <b/>
      <sz val="14"/>
      <color rgb="FF1A6B6B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9"/>
      <color rgb="FF1A1A1A"/>
      <name val="Arial"/>
    </font>
    <font>
      <b/>
      <sz val="13"/>
      <color rgb="FFFFFFFF"/>
      <name val="Arial"/>
    </font>
    <font>
      <b/>
      <sz val="10"/>
      <color rgb="FFE67E22"/>
      <name val="Arial"/>
    </font>
    <font>
      <b/>
      <sz val="10"/>
      <name val="Arial"/>
    </font>
    <font>
      <b/>
      <sz val="10"/>
      <color rgb="FF1A6B3C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8F8F8"/>
      </patternFill>
    </fill>
    <fill>
      <patternFill patternType="solid">
        <fgColor rgb="FF1A6B6B"/>
      </patternFill>
    </fill>
    <fill>
      <patternFill patternType="solid">
        <fgColor rgb="FFD6F0E0"/>
      </patternFill>
    </fill>
    <fill>
      <patternFill patternType="solid">
        <fgColor rgb="FFFFFFFF"/>
      </patternFill>
    </fill>
    <fill>
      <patternFill patternType="solid">
        <fgColor rgb="FFFDDEDE"/>
      </patternFill>
    </fill>
    <fill>
      <patternFill patternType="solid">
        <fgColor rgb="FFD6E4F7"/>
      </patternFill>
    </fill>
    <fill>
      <patternFill patternType="solid">
        <fgColor rgb="FF1A6B3C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FF3CD"/>
      </patternFill>
    </fill>
    <fill>
      <patternFill patternType="solid">
        <fgColor rgb="FF2471A3"/>
      </patternFill>
    </fill>
    <fill>
      <patternFill patternType="solid">
        <fgColor rgb="FFE8F4F4"/>
      </patternFill>
    </fill>
    <fill>
      <patternFill patternType="solid">
        <fgColor rgb="FFE8F0E8"/>
      </patternFill>
    </fill>
    <fill>
      <patternFill patternType="solid">
        <fgColor rgb="FFF5EEF8"/>
      </patternFill>
    </fill>
    <fill>
      <patternFill patternType="solid">
        <fgColor rgb="FFFDEBD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4" fontId="5" fillId="8" borderId="1" xfId="0" applyNumberFormat="1" applyFont="1" applyFill="1" applyBorder="1" applyAlignment="1">
      <alignment horizontal="center" vertical="center"/>
    </xf>
    <xf numFmtId="1" fontId="5" fillId="8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5" borderId="1" xfId="0" applyFill="1" applyBorder="1"/>
    <xf numFmtId="0" fontId="6" fillId="5" borderId="1" xfId="0" applyFont="1" applyFill="1" applyBorder="1"/>
    <xf numFmtId="0" fontId="0" fillId="8" borderId="1" xfId="0" applyFill="1" applyBorder="1"/>
    <xf numFmtId="0" fontId="6" fillId="8" borderId="1" xfId="0" applyFont="1" applyFill="1" applyBorder="1"/>
    <xf numFmtId="0" fontId="0" fillId="6" borderId="1" xfId="0" applyFill="1" applyBorder="1"/>
    <xf numFmtId="0" fontId="6" fillId="6" borderId="1" xfId="0" applyFont="1" applyFill="1" applyBorder="1"/>
    <xf numFmtId="0" fontId="0" fillId="7" borderId="1" xfId="0" applyFill="1" applyBorder="1"/>
    <xf numFmtId="0" fontId="6" fillId="7" borderId="1" xfId="0" applyFont="1" applyFill="1" applyBorder="1"/>
    <xf numFmtId="0" fontId="14" fillId="2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1" fontId="5" fillId="12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4" fontId="14" fillId="2" borderId="1" xfId="0" applyNumberFormat="1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center" vertical="center"/>
    </xf>
    <xf numFmtId="4" fontId="5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4" fontId="5" fillId="15" borderId="1" xfId="0" applyNumberFormat="1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center" vertical="center"/>
    </xf>
    <xf numFmtId="4" fontId="5" fillId="12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4" fontId="5" fillId="16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4" fontId="5" fillId="17" borderId="1" xfId="0" applyNumberFormat="1" applyFont="1" applyFill="1" applyBorder="1" applyAlignment="1">
      <alignment horizontal="center" vertical="center"/>
    </xf>
    <xf numFmtId="164" fontId="5" fillId="17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8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center" vertical="center"/>
    </xf>
    <xf numFmtId="1" fontId="10" fillId="12" borderId="1" xfId="0" applyNumberFormat="1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" fontId="12" fillId="14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C0392B"/>
        <name val="Arial"/>
      </font>
      <fill>
        <patternFill patternType="solid">
          <fgColor rgb="FFFDDEDE"/>
        </patternFill>
      </fill>
    </dxf>
    <dxf>
      <fill>
        <patternFill patternType="solid">
          <fgColor rgb="FFD6E4F7"/>
        </patternFill>
      </fill>
    </dxf>
    <dxf>
      <fill>
        <patternFill patternType="solid">
          <fgColor rgb="FFD6F0E0"/>
        </patternFill>
      </fill>
    </dxf>
    <dxf>
      <fill>
        <patternFill patternType="solid">
          <fgColor rgb="FFFDDED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20"/>
  <sheetViews>
    <sheetView showGridLines="0" tabSelected="1" topLeftCell="C1" workbookViewId="0">
      <pane ySplit="3" topLeftCell="A4" activePane="bottomLeft" state="frozen"/>
      <selection pane="bottomLeft" activeCell="D10" sqref="D10"/>
    </sheetView>
  </sheetViews>
  <sheetFormatPr defaultRowHeight="14.4" x14ac:dyDescent="0.3"/>
  <cols>
    <col min="1" max="1" width="14" customWidth="1"/>
    <col min="2" max="2" width="22" customWidth="1"/>
    <col min="3" max="3" width="28" customWidth="1"/>
    <col min="4" max="4" width="16" customWidth="1"/>
    <col min="5" max="5" width="12" customWidth="1"/>
    <col min="6" max="7" width="16" customWidth="1"/>
    <col min="8" max="8" width="14" customWidth="1"/>
    <col min="9" max="9" width="18" customWidth="1"/>
    <col min="10" max="10" width="15" customWidth="1"/>
    <col min="11" max="11" width="16" customWidth="1"/>
    <col min="12" max="12" width="13" customWidth="1"/>
    <col min="13" max="13" width="25" customWidth="1"/>
  </cols>
  <sheetData>
    <row r="1" spans="1:13" ht="31.95" customHeight="1" x14ac:dyDescent="0.3">
      <c r="A1" s="68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8" customHeight="1" x14ac:dyDescent="0.3">
      <c r="A2" s="66" t="s">
        <v>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13" ht="36" customHeight="1" x14ac:dyDescent="0.3">
      <c r="A3" s="1" t="s">
        <v>16</v>
      </c>
      <c r="B3" s="1" t="s">
        <v>61</v>
      </c>
      <c r="C3" s="1" t="s">
        <v>62</v>
      </c>
      <c r="D3" s="1" t="s">
        <v>32</v>
      </c>
      <c r="E3" s="1" t="s">
        <v>63</v>
      </c>
      <c r="F3" s="1" t="s">
        <v>64</v>
      </c>
      <c r="G3" s="1" t="s">
        <v>14</v>
      </c>
      <c r="H3" s="1" t="s">
        <v>65</v>
      </c>
      <c r="I3" s="1" t="s">
        <v>66</v>
      </c>
      <c r="J3" s="1" t="s">
        <v>67</v>
      </c>
      <c r="K3" s="1" t="s">
        <v>12</v>
      </c>
      <c r="L3" s="1" t="s">
        <v>68</v>
      </c>
      <c r="M3" s="1" t="s">
        <v>69</v>
      </c>
    </row>
    <row r="4" spans="1:13" ht="19.95" customHeight="1" x14ac:dyDescent="0.3">
      <c r="A4" s="2" t="s">
        <v>70</v>
      </c>
      <c r="B4" s="3" t="s">
        <v>71</v>
      </c>
      <c r="C4" s="3" t="s">
        <v>72</v>
      </c>
      <c r="D4" s="3" t="s">
        <v>40</v>
      </c>
      <c r="E4" s="4">
        <v>5000</v>
      </c>
      <c r="F4" s="5">
        <v>18.5</v>
      </c>
      <c r="G4" s="5">
        <f t="shared" ref="G4:G18" si="0">E4*F4</f>
        <v>92500</v>
      </c>
      <c r="H4" s="4" t="s">
        <v>73</v>
      </c>
      <c r="I4" s="4" t="s">
        <v>74</v>
      </c>
      <c r="J4" s="4" t="s">
        <v>75</v>
      </c>
      <c r="K4" s="4" t="s">
        <v>6</v>
      </c>
      <c r="L4" s="6">
        <f t="shared" ref="L4:L18" ca="1" si="1">IF(K4="Delivered",0,IF(AND(K4&lt;&gt;"Delivered",ISNUMBER(DATEVALUE(I4))),MAX(0,TODAY()-DATEVALUE(I4)),0))</f>
        <v>0</v>
      </c>
      <c r="M4" s="3" t="s">
        <v>76</v>
      </c>
    </row>
    <row r="5" spans="1:13" ht="19.95" customHeight="1" x14ac:dyDescent="0.3">
      <c r="A5" s="2" t="s">
        <v>77</v>
      </c>
      <c r="B5" s="3" t="s">
        <v>78</v>
      </c>
      <c r="C5" s="3" t="s">
        <v>79</v>
      </c>
      <c r="D5" s="3" t="s">
        <v>46</v>
      </c>
      <c r="E5" s="4">
        <v>2000</v>
      </c>
      <c r="F5" s="5">
        <v>85</v>
      </c>
      <c r="G5" s="5">
        <f t="shared" si="0"/>
        <v>170000</v>
      </c>
      <c r="H5" s="4" t="s">
        <v>80</v>
      </c>
      <c r="I5" s="4" t="s">
        <v>81</v>
      </c>
      <c r="J5" s="4" t="s">
        <v>82</v>
      </c>
      <c r="K5" s="4" t="s">
        <v>6</v>
      </c>
      <c r="L5" s="6">
        <f t="shared" ca="1" si="1"/>
        <v>0</v>
      </c>
      <c r="M5" s="3" t="s">
        <v>83</v>
      </c>
    </row>
    <row r="6" spans="1:13" ht="19.95" customHeight="1" x14ac:dyDescent="0.3">
      <c r="A6" s="7" t="s">
        <v>84</v>
      </c>
      <c r="B6" s="8" t="s">
        <v>85</v>
      </c>
      <c r="C6" s="8" t="s">
        <v>86</v>
      </c>
      <c r="D6" s="8" t="s">
        <v>40</v>
      </c>
      <c r="E6" s="9">
        <v>10000</v>
      </c>
      <c r="F6" s="10">
        <v>2.2000000000000002</v>
      </c>
      <c r="G6" s="10">
        <f t="shared" si="0"/>
        <v>22000</v>
      </c>
      <c r="H6" s="9" t="s">
        <v>87</v>
      </c>
      <c r="I6" s="9" t="s">
        <v>88</v>
      </c>
      <c r="J6" s="9"/>
      <c r="K6" s="9" t="s">
        <v>22</v>
      </c>
      <c r="L6" s="11">
        <f t="shared" ca="1" si="1"/>
        <v>0</v>
      </c>
      <c r="M6" s="8" t="s">
        <v>89</v>
      </c>
    </row>
    <row r="7" spans="1:13" ht="19.95" customHeight="1" x14ac:dyDescent="0.3">
      <c r="A7" s="12" t="s">
        <v>19</v>
      </c>
      <c r="B7" s="13" t="s">
        <v>20</v>
      </c>
      <c r="C7" s="13" t="s">
        <v>90</v>
      </c>
      <c r="D7" s="13" t="s">
        <v>43</v>
      </c>
      <c r="E7" s="14">
        <v>3000</v>
      </c>
      <c r="F7" s="15">
        <v>12.75</v>
      </c>
      <c r="G7" s="15">
        <f t="shared" si="0"/>
        <v>38250</v>
      </c>
      <c r="H7" s="14" t="s">
        <v>91</v>
      </c>
      <c r="I7" s="14" t="s">
        <v>92</v>
      </c>
      <c r="J7" s="14"/>
      <c r="K7" s="14" t="s">
        <v>21</v>
      </c>
      <c r="L7" s="16">
        <f t="shared" ca="1" si="1"/>
        <v>1</v>
      </c>
      <c r="M7" s="13" t="s">
        <v>93</v>
      </c>
    </row>
    <row r="8" spans="1:13" ht="19.95" customHeight="1" x14ac:dyDescent="0.3">
      <c r="A8" s="17" t="s">
        <v>94</v>
      </c>
      <c r="B8" s="18" t="s">
        <v>95</v>
      </c>
      <c r="C8" s="18" t="s">
        <v>96</v>
      </c>
      <c r="D8" s="18" t="s">
        <v>49</v>
      </c>
      <c r="E8" s="19">
        <v>500</v>
      </c>
      <c r="F8" s="20">
        <v>420</v>
      </c>
      <c r="G8" s="20">
        <f t="shared" si="0"/>
        <v>210000</v>
      </c>
      <c r="H8" s="19" t="s">
        <v>97</v>
      </c>
      <c r="I8" s="19" t="s">
        <v>98</v>
      </c>
      <c r="J8" s="19"/>
      <c r="K8" s="19" t="s">
        <v>7</v>
      </c>
      <c r="L8" s="21">
        <f t="shared" ca="1" si="1"/>
        <v>0</v>
      </c>
      <c r="M8" s="18" t="s">
        <v>99</v>
      </c>
    </row>
    <row r="9" spans="1:13" ht="19.95" customHeight="1" x14ac:dyDescent="0.3">
      <c r="A9" s="7" t="s">
        <v>23</v>
      </c>
      <c r="B9" s="8" t="s">
        <v>24</v>
      </c>
      <c r="C9" s="8" t="s">
        <v>100</v>
      </c>
      <c r="D9" s="8" t="s">
        <v>52</v>
      </c>
      <c r="E9" s="9">
        <v>200</v>
      </c>
      <c r="F9" s="10">
        <v>1850</v>
      </c>
      <c r="G9" s="10">
        <f t="shared" si="0"/>
        <v>370000</v>
      </c>
      <c r="H9" s="9" t="s">
        <v>101</v>
      </c>
      <c r="I9" s="9" t="s">
        <v>82</v>
      </c>
      <c r="J9" s="9"/>
      <c r="K9" s="9" t="s">
        <v>22</v>
      </c>
      <c r="L9" s="11">
        <f t="shared" ca="1" si="1"/>
        <v>4</v>
      </c>
      <c r="M9" s="8" t="s">
        <v>102</v>
      </c>
    </row>
    <row r="10" spans="1:13" ht="19.95" customHeight="1" x14ac:dyDescent="0.3">
      <c r="A10" s="17" t="s">
        <v>103</v>
      </c>
      <c r="B10" s="18" t="s">
        <v>104</v>
      </c>
      <c r="C10" s="18" t="s">
        <v>105</v>
      </c>
      <c r="D10" s="18" t="s">
        <v>37</v>
      </c>
      <c r="E10" s="19">
        <v>1500</v>
      </c>
      <c r="F10" s="20">
        <v>95</v>
      </c>
      <c r="G10" s="20">
        <f t="shared" si="0"/>
        <v>142500</v>
      </c>
      <c r="H10" s="19" t="s">
        <v>106</v>
      </c>
      <c r="I10" s="19" t="s">
        <v>107</v>
      </c>
      <c r="J10" s="19"/>
      <c r="K10" s="19" t="s">
        <v>7</v>
      </c>
      <c r="L10" s="21">
        <f t="shared" ca="1" si="1"/>
        <v>0</v>
      </c>
      <c r="M10" s="18" t="s">
        <v>108</v>
      </c>
    </row>
    <row r="11" spans="1:13" ht="19.95" customHeight="1" x14ac:dyDescent="0.3">
      <c r="A11" s="12" t="s">
        <v>25</v>
      </c>
      <c r="B11" s="13" t="s">
        <v>26</v>
      </c>
      <c r="C11" s="13" t="s">
        <v>109</v>
      </c>
      <c r="D11" s="13" t="s">
        <v>40</v>
      </c>
      <c r="E11" s="14">
        <v>8000</v>
      </c>
      <c r="F11" s="15">
        <v>7.8</v>
      </c>
      <c r="G11" s="15">
        <f t="shared" si="0"/>
        <v>62400</v>
      </c>
      <c r="H11" s="14" t="s">
        <v>110</v>
      </c>
      <c r="I11" s="14" t="s">
        <v>111</v>
      </c>
      <c r="J11" s="14"/>
      <c r="K11" s="14" t="s">
        <v>21</v>
      </c>
      <c r="L11" s="16">
        <f t="shared" ca="1" si="1"/>
        <v>2</v>
      </c>
      <c r="M11" s="13" t="s">
        <v>112</v>
      </c>
    </row>
    <row r="12" spans="1:13" ht="19.95" customHeight="1" x14ac:dyDescent="0.3">
      <c r="A12" s="7" t="s">
        <v>113</v>
      </c>
      <c r="B12" s="8" t="s">
        <v>114</v>
      </c>
      <c r="C12" s="8" t="s">
        <v>115</v>
      </c>
      <c r="D12" s="8" t="s">
        <v>43</v>
      </c>
      <c r="E12" s="9">
        <v>2500</v>
      </c>
      <c r="F12" s="10">
        <v>28.5</v>
      </c>
      <c r="G12" s="10">
        <f t="shared" si="0"/>
        <v>71250</v>
      </c>
      <c r="H12" s="9" t="s">
        <v>116</v>
      </c>
      <c r="I12" s="9" t="s">
        <v>117</v>
      </c>
      <c r="J12" s="9"/>
      <c r="K12" s="9" t="s">
        <v>22</v>
      </c>
      <c r="L12" s="11">
        <f t="shared" ca="1" si="1"/>
        <v>0</v>
      </c>
      <c r="M12" s="8" t="s">
        <v>118</v>
      </c>
    </row>
    <row r="13" spans="1:13" ht="19.95" customHeight="1" x14ac:dyDescent="0.3">
      <c r="A13" s="7" t="s">
        <v>27</v>
      </c>
      <c r="B13" s="8" t="s">
        <v>28</v>
      </c>
      <c r="C13" s="8" t="s">
        <v>119</v>
      </c>
      <c r="D13" s="8" t="s">
        <v>46</v>
      </c>
      <c r="E13" s="9">
        <v>800</v>
      </c>
      <c r="F13" s="10">
        <v>285</v>
      </c>
      <c r="G13" s="10">
        <f t="shared" si="0"/>
        <v>228000</v>
      </c>
      <c r="H13" s="9" t="s">
        <v>120</v>
      </c>
      <c r="I13" s="9" t="s">
        <v>81</v>
      </c>
      <c r="J13" s="9"/>
      <c r="K13" s="9" t="s">
        <v>22</v>
      </c>
      <c r="L13" s="11">
        <f t="shared" ca="1" si="1"/>
        <v>3</v>
      </c>
      <c r="M13" s="8" t="s">
        <v>121</v>
      </c>
    </row>
    <row r="14" spans="1:13" ht="19.95" customHeight="1" x14ac:dyDescent="0.3">
      <c r="A14" s="7" t="s">
        <v>122</v>
      </c>
      <c r="B14" s="8" t="s">
        <v>123</v>
      </c>
      <c r="C14" s="8" t="s">
        <v>124</v>
      </c>
      <c r="D14" s="8" t="s">
        <v>40</v>
      </c>
      <c r="E14" s="9">
        <v>4000</v>
      </c>
      <c r="F14" s="10">
        <v>14.2</v>
      </c>
      <c r="G14" s="10">
        <f t="shared" si="0"/>
        <v>56800</v>
      </c>
      <c r="H14" s="9" t="s">
        <v>75</v>
      </c>
      <c r="I14" s="9" t="s">
        <v>125</v>
      </c>
      <c r="J14" s="9"/>
      <c r="K14" s="9" t="s">
        <v>22</v>
      </c>
      <c r="L14" s="11">
        <f t="shared" ca="1" si="1"/>
        <v>0</v>
      </c>
      <c r="M14" s="8" t="s">
        <v>89</v>
      </c>
    </row>
    <row r="15" spans="1:13" ht="19.95" customHeight="1" x14ac:dyDescent="0.3">
      <c r="A15" s="17" t="s">
        <v>126</v>
      </c>
      <c r="B15" s="18" t="s">
        <v>127</v>
      </c>
      <c r="C15" s="18" t="s">
        <v>128</v>
      </c>
      <c r="D15" s="18" t="s">
        <v>46</v>
      </c>
      <c r="E15" s="19">
        <v>1200</v>
      </c>
      <c r="F15" s="20">
        <v>165</v>
      </c>
      <c r="G15" s="20">
        <f t="shared" si="0"/>
        <v>198000</v>
      </c>
      <c r="H15" s="19" t="s">
        <v>74</v>
      </c>
      <c r="I15" s="19" t="s">
        <v>88</v>
      </c>
      <c r="J15" s="19"/>
      <c r="K15" s="19" t="s">
        <v>7</v>
      </c>
      <c r="L15" s="21">
        <f t="shared" ca="1" si="1"/>
        <v>0</v>
      </c>
      <c r="M15" s="18" t="s">
        <v>129</v>
      </c>
    </row>
    <row r="16" spans="1:13" ht="19.95" customHeight="1" x14ac:dyDescent="0.3">
      <c r="A16" s="7" t="s">
        <v>130</v>
      </c>
      <c r="B16" s="8" t="s">
        <v>131</v>
      </c>
      <c r="C16" s="8" t="s">
        <v>132</v>
      </c>
      <c r="D16" s="8" t="s">
        <v>40</v>
      </c>
      <c r="E16" s="9">
        <v>6000</v>
      </c>
      <c r="F16" s="10">
        <v>9.5</v>
      </c>
      <c r="G16" s="10">
        <f t="shared" si="0"/>
        <v>57000</v>
      </c>
      <c r="H16" s="9" t="s">
        <v>81</v>
      </c>
      <c r="I16" s="9" t="s">
        <v>133</v>
      </c>
      <c r="J16" s="9"/>
      <c r="K16" s="9" t="s">
        <v>22</v>
      </c>
      <c r="L16" s="11">
        <f t="shared" ca="1" si="1"/>
        <v>0</v>
      </c>
      <c r="M16" s="8" t="s">
        <v>134</v>
      </c>
    </row>
    <row r="17" spans="1:13" ht="19.95" customHeight="1" x14ac:dyDescent="0.3">
      <c r="A17" s="7" t="s">
        <v>135</v>
      </c>
      <c r="B17" s="8" t="s">
        <v>136</v>
      </c>
      <c r="C17" s="8" t="s">
        <v>137</v>
      </c>
      <c r="D17" s="8" t="s">
        <v>40</v>
      </c>
      <c r="E17" s="9">
        <v>3500</v>
      </c>
      <c r="F17" s="10">
        <v>22</v>
      </c>
      <c r="G17" s="10">
        <f t="shared" si="0"/>
        <v>77000</v>
      </c>
      <c r="H17" s="9" t="s">
        <v>111</v>
      </c>
      <c r="I17" s="9" t="s">
        <v>138</v>
      </c>
      <c r="J17" s="9"/>
      <c r="K17" s="9" t="s">
        <v>22</v>
      </c>
      <c r="L17" s="11">
        <f t="shared" ca="1" si="1"/>
        <v>0</v>
      </c>
      <c r="M17" s="8" t="s">
        <v>139</v>
      </c>
    </row>
    <row r="18" spans="1:13" ht="19.95" customHeight="1" x14ac:dyDescent="0.3">
      <c r="A18" s="7" t="s">
        <v>140</v>
      </c>
      <c r="B18" s="8" t="s">
        <v>141</v>
      </c>
      <c r="C18" s="8" t="s">
        <v>142</v>
      </c>
      <c r="D18" s="8" t="s">
        <v>55</v>
      </c>
      <c r="E18" s="9">
        <v>5000</v>
      </c>
      <c r="F18" s="10">
        <v>8.9</v>
      </c>
      <c r="G18" s="10">
        <f t="shared" si="0"/>
        <v>44500</v>
      </c>
      <c r="H18" s="9" t="s">
        <v>92</v>
      </c>
      <c r="I18" s="9" t="s">
        <v>143</v>
      </c>
      <c r="J18" s="9"/>
      <c r="K18" s="9" t="s">
        <v>22</v>
      </c>
      <c r="L18" s="11">
        <f t="shared" ca="1" si="1"/>
        <v>0</v>
      </c>
      <c r="M18" s="8" t="s">
        <v>144</v>
      </c>
    </row>
    <row r="20" spans="1:13" x14ac:dyDescent="0.3">
      <c r="A20" s="22" t="s">
        <v>145</v>
      </c>
      <c r="B20" s="23"/>
      <c r="C20" s="24" t="s">
        <v>6</v>
      </c>
      <c r="D20" s="25"/>
      <c r="E20" s="26" t="s">
        <v>7</v>
      </c>
      <c r="F20" s="27"/>
      <c r="G20" s="28" t="s">
        <v>22</v>
      </c>
      <c r="H20" s="29"/>
      <c r="I20" s="30" t="s">
        <v>146</v>
      </c>
    </row>
  </sheetData>
  <mergeCells count="2">
    <mergeCell ref="A2:M2"/>
    <mergeCell ref="A1:M1"/>
  </mergeCells>
  <conditionalFormatting sqref="A4:M18">
    <cfRule type="expression" dxfId="3" priority="2">
      <formula>$K4="Backorder"</formula>
    </cfRule>
    <cfRule type="expression" dxfId="2" priority="3">
      <formula>$K4="Delivered"</formula>
    </cfRule>
    <cfRule type="expression" dxfId="1" priority="4">
      <formula>$K4="Acknowledged"</formula>
    </cfRule>
  </conditionalFormatting>
  <conditionalFormatting sqref="L4:L18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6B3C"/>
  </sheetPr>
  <dimension ref="A1:J27"/>
  <sheetViews>
    <sheetView showGridLines="0" topLeftCell="A16" workbookViewId="0">
      <selection activeCell="H19" sqref="H19:I19"/>
    </sheetView>
  </sheetViews>
  <sheetFormatPr defaultRowHeight="14.4" x14ac:dyDescent="0.3"/>
  <cols>
    <col min="1" max="1" width="3" customWidth="1"/>
    <col min="2" max="2" width="16" customWidth="1"/>
    <col min="3" max="3" width="10" customWidth="1"/>
    <col min="4" max="4" width="18" customWidth="1"/>
    <col min="5" max="5" width="10" customWidth="1"/>
    <col min="6" max="6" width="3" customWidth="1"/>
    <col min="7" max="7" width="14" customWidth="1"/>
    <col min="8" max="8" width="22" customWidth="1"/>
    <col min="9" max="9" width="12" customWidth="1"/>
    <col min="10" max="10" width="20" customWidth="1"/>
  </cols>
  <sheetData>
    <row r="1" spans="1:10" ht="31.95" customHeight="1" x14ac:dyDescent="0.3">
      <c r="A1" s="68" t="s">
        <v>0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8" customHeight="1" x14ac:dyDescent="0.3">
      <c r="A2" s="66" t="s">
        <v>1</v>
      </c>
      <c r="B2" s="67"/>
      <c r="C2" s="67"/>
      <c r="D2" s="67"/>
      <c r="E2" s="67"/>
      <c r="F2" s="67"/>
      <c r="G2" s="67"/>
      <c r="H2" s="67"/>
      <c r="I2" s="67"/>
      <c r="J2" s="67"/>
    </row>
    <row r="4" spans="1:10" x14ac:dyDescent="0.3">
      <c r="B4" s="72" t="s">
        <v>2</v>
      </c>
      <c r="C4" s="67"/>
      <c r="D4" s="74" t="s">
        <v>3</v>
      </c>
      <c r="E4" s="67"/>
      <c r="F4" s="83" t="s">
        <v>4</v>
      </c>
      <c r="G4" s="67"/>
      <c r="H4" s="86" t="s">
        <v>5</v>
      </c>
      <c r="I4" s="67"/>
    </row>
    <row r="5" spans="1:10" ht="17.399999999999999" x14ac:dyDescent="0.3">
      <c r="B5" s="76">
        <f>COUNTA('PO Tracker'!A4:A18)</f>
        <v>15</v>
      </c>
      <c r="C5" s="67"/>
      <c r="D5" s="77">
        <f>SUM('PO Tracker'!G4:G18)</f>
        <v>1840200</v>
      </c>
      <c r="E5" s="67"/>
      <c r="F5" s="80">
        <f ca="1">COUNTIF('PO Tracker'!L4:L18,"&gt;0")</f>
        <v>4</v>
      </c>
      <c r="G5" s="67"/>
      <c r="H5" s="78">
        <f>COUNTIF('PO Tracker'!K4:K18,"Backorder")</f>
        <v>2</v>
      </c>
      <c r="I5" s="67"/>
    </row>
    <row r="7" spans="1:10" x14ac:dyDescent="0.3">
      <c r="B7" s="74" t="s">
        <v>6</v>
      </c>
      <c r="C7" s="67"/>
      <c r="D7" s="71" t="s">
        <v>7</v>
      </c>
      <c r="E7" s="67"/>
      <c r="F7" s="87" t="s">
        <v>8</v>
      </c>
      <c r="G7" s="67"/>
      <c r="H7" s="72" t="s">
        <v>9</v>
      </c>
      <c r="I7" s="67"/>
    </row>
    <row r="8" spans="1:10" ht="17.399999999999999" x14ac:dyDescent="0.3">
      <c r="B8" s="81">
        <f>COUNTIF('PO Tracker'!K4:K18,"Delivered")</f>
        <v>2</v>
      </c>
      <c r="C8" s="67"/>
      <c r="D8" s="75">
        <f>COUNTIF('PO Tracker'!K4:K18,"Acknowledged")</f>
        <v>3</v>
      </c>
      <c r="E8" s="67"/>
      <c r="F8" s="82">
        <f>COUNTIF('PO Tracker'!K4:K18,"Open")</f>
        <v>8</v>
      </c>
      <c r="G8" s="67"/>
      <c r="H8" s="79">
        <f>AVERAGE('PO Tracker'!G4:G18)</f>
        <v>122680</v>
      </c>
      <c r="I8" s="67"/>
    </row>
    <row r="10" spans="1:10" ht="28.05" customHeight="1" x14ac:dyDescent="0.3">
      <c r="B10" s="70" t="s">
        <v>10</v>
      </c>
      <c r="C10" s="67"/>
      <c r="D10" s="67"/>
      <c r="E10" s="67"/>
      <c r="G10" s="84" t="s">
        <v>11</v>
      </c>
      <c r="H10" s="67"/>
      <c r="I10" s="67"/>
    </row>
    <row r="11" spans="1:10" ht="19.95" customHeight="1" x14ac:dyDescent="0.3">
      <c r="B11" s="31" t="s">
        <v>12</v>
      </c>
      <c r="C11" s="31" t="s">
        <v>13</v>
      </c>
      <c r="D11" s="31" t="s">
        <v>14</v>
      </c>
      <c r="E11" s="31" t="s">
        <v>15</v>
      </c>
      <c r="G11" s="31" t="s">
        <v>16</v>
      </c>
      <c r="H11" s="31" t="s">
        <v>17</v>
      </c>
      <c r="I11" s="31" t="s">
        <v>12</v>
      </c>
      <c r="J11" s="31" t="s">
        <v>18</v>
      </c>
    </row>
    <row r="12" spans="1:10" ht="19.95" customHeight="1" x14ac:dyDescent="0.3">
      <c r="B12" s="3" t="s">
        <v>6</v>
      </c>
      <c r="C12" s="4">
        <f>COUNTIF('PO Tracker'!K4:K18,"Delivered")</f>
        <v>2</v>
      </c>
      <c r="D12" s="5">
        <f>SUMIF('PO Tracker'!K4:K18,"Delivered",'PO Tracker'!G4:G18)</f>
        <v>262500</v>
      </c>
      <c r="E12" s="32">
        <f>D12/SUM(D12:D15)</f>
        <v>0.14264753831105315</v>
      </c>
      <c r="G12" s="14" t="s">
        <v>19</v>
      </c>
      <c r="H12" s="13" t="s">
        <v>20</v>
      </c>
      <c r="I12" s="14" t="s">
        <v>21</v>
      </c>
      <c r="J12" s="16">
        <f ca="1">IFERROR(VLOOKUP("PO-10004",'PO Tracker'!A:L,12,0),"")</f>
        <v>1</v>
      </c>
    </row>
    <row r="13" spans="1:10" ht="19.95" customHeight="1" x14ac:dyDescent="0.3">
      <c r="B13" s="8" t="s">
        <v>22</v>
      </c>
      <c r="C13" s="9">
        <f>COUNTIF('PO Tracker'!K4:K18,"Open")</f>
        <v>8</v>
      </c>
      <c r="D13" s="10">
        <f>SUMIF('PO Tracker'!K4:K18,"Open",'PO Tracker'!G4:G18)</f>
        <v>926550</v>
      </c>
      <c r="E13" s="33">
        <f>D13/SUM(D12:D15)</f>
        <v>0.50350505379850019</v>
      </c>
      <c r="G13" s="34" t="s">
        <v>23</v>
      </c>
      <c r="H13" s="35" t="s">
        <v>24</v>
      </c>
      <c r="I13" s="34" t="s">
        <v>22</v>
      </c>
      <c r="J13" s="36">
        <f ca="1">IFERROR(VLOOKUP("PO-10006",'PO Tracker'!A:L,12,0),"")</f>
        <v>4</v>
      </c>
    </row>
    <row r="14" spans="1:10" ht="19.95" customHeight="1" x14ac:dyDescent="0.3">
      <c r="B14" s="18" t="s">
        <v>7</v>
      </c>
      <c r="C14" s="19">
        <f>COUNTIF('PO Tracker'!K4:K18,"Acknowledged")</f>
        <v>3</v>
      </c>
      <c r="D14" s="20">
        <f>SUMIF('PO Tracker'!K4:K18,"Acknowledged",'PO Tracker'!G4:G18)</f>
        <v>550500</v>
      </c>
      <c r="E14" s="37">
        <f>D14/SUM(D12:D15)</f>
        <v>0.29915226605803719</v>
      </c>
      <c r="G14" s="14" t="s">
        <v>25</v>
      </c>
      <c r="H14" s="13" t="s">
        <v>26</v>
      </c>
      <c r="I14" s="14" t="s">
        <v>21</v>
      </c>
      <c r="J14" s="16">
        <f ca="1">IFERROR(VLOOKUP("PO-10008",'PO Tracker'!A:L,12,0),"")</f>
        <v>2</v>
      </c>
    </row>
    <row r="15" spans="1:10" ht="19.95" customHeight="1" x14ac:dyDescent="0.3">
      <c r="B15" s="13" t="s">
        <v>21</v>
      </c>
      <c r="C15" s="14">
        <f>COUNTIF('PO Tracker'!K4:K18,"Backorder")</f>
        <v>2</v>
      </c>
      <c r="D15" s="15">
        <f>SUMIF('PO Tracker'!K4:K18,"Backorder",'PO Tracker'!G4:G18)</f>
        <v>100650</v>
      </c>
      <c r="E15" s="38">
        <f>D15/SUM(D12:D15)</f>
        <v>5.4695141832409519E-2</v>
      </c>
      <c r="G15" s="34" t="s">
        <v>27</v>
      </c>
      <c r="H15" s="35" t="s">
        <v>28</v>
      </c>
      <c r="I15" s="34" t="s">
        <v>22</v>
      </c>
      <c r="J15" s="36">
        <f ca="1">IFERROR(VLOOKUP("PO-10010",'PO Tracker'!A:L,12,0),"")</f>
        <v>3</v>
      </c>
    </row>
    <row r="16" spans="1:10" ht="19.95" customHeight="1" x14ac:dyDescent="0.3">
      <c r="B16" s="31" t="s">
        <v>29</v>
      </c>
      <c r="C16" s="31">
        <f>SUM(C12:C15)</f>
        <v>15</v>
      </c>
      <c r="D16" s="39">
        <f>SUM(D12:D15)</f>
        <v>1840200</v>
      </c>
      <c r="E16" s="40">
        <f>SUM(E12:E15)</f>
        <v>1</v>
      </c>
    </row>
    <row r="18" spans="2:9" ht="28.05" customHeight="1" x14ac:dyDescent="0.3">
      <c r="B18" s="70" t="s">
        <v>30</v>
      </c>
      <c r="C18" s="67"/>
      <c r="D18" s="67"/>
      <c r="E18" s="67"/>
      <c r="G18" s="85" t="s">
        <v>31</v>
      </c>
      <c r="H18" s="67"/>
      <c r="I18" s="67"/>
    </row>
    <row r="19" spans="2:9" ht="19.95" customHeight="1" x14ac:dyDescent="0.3">
      <c r="B19" s="31" t="s">
        <v>32</v>
      </c>
      <c r="C19" s="31" t="s">
        <v>33</v>
      </c>
      <c r="D19" s="31" t="s">
        <v>3</v>
      </c>
      <c r="E19" s="31" t="s">
        <v>34</v>
      </c>
      <c r="G19" s="41" t="s">
        <v>35</v>
      </c>
      <c r="H19" s="73" t="s">
        <v>36</v>
      </c>
      <c r="I19" s="67"/>
    </row>
    <row r="20" spans="2:9" ht="19.95" customHeight="1" x14ac:dyDescent="0.3">
      <c r="B20" s="42" t="s">
        <v>37</v>
      </c>
      <c r="C20" s="43">
        <f>COUNTIF('PO Tracker'!D4:D18,"Cables")</f>
        <v>1</v>
      </c>
      <c r="D20" s="44">
        <f>SUMIF('PO Tracker'!D4:D18,"Cables",'PO Tracker'!G4:G18)</f>
        <v>142500</v>
      </c>
      <c r="E20" s="45">
        <f>D20/SUM(D20:D26)</f>
        <v>7.7437235083143138E-2</v>
      </c>
      <c r="G20" s="46" t="s">
        <v>38</v>
      </c>
      <c r="H20" s="69" t="s">
        <v>39</v>
      </c>
      <c r="I20" s="67"/>
    </row>
    <row r="21" spans="2:9" ht="19.95" customHeight="1" x14ac:dyDescent="0.3">
      <c r="B21" s="18" t="s">
        <v>40</v>
      </c>
      <c r="C21" s="19">
        <f>COUNTIF('PO Tracker'!D4:D18,"Components")</f>
        <v>6</v>
      </c>
      <c r="D21" s="20">
        <f>SUMIF('PO Tracker'!D4:D18,"Components",'PO Tracker'!G4:G18)</f>
        <v>367700</v>
      </c>
      <c r="E21" s="37">
        <f>D21/SUM(D20:D26)</f>
        <v>0.19981523747418758</v>
      </c>
      <c r="G21" s="41" t="s">
        <v>41</v>
      </c>
      <c r="H21" s="73" t="s">
        <v>42</v>
      </c>
      <c r="I21" s="67"/>
    </row>
    <row r="22" spans="2:9" ht="19.95" customHeight="1" x14ac:dyDescent="0.3">
      <c r="B22" s="47" t="s">
        <v>43</v>
      </c>
      <c r="C22" s="48">
        <f>COUNTIF('PO Tracker'!D4:D18,"Connectors")</f>
        <v>2</v>
      </c>
      <c r="D22" s="49">
        <f>SUMIF('PO Tracker'!D4:D18,"Connectors",'PO Tracker'!G4:G18)</f>
        <v>109500</v>
      </c>
      <c r="E22" s="50">
        <f>D22/SUM(D20:D26)</f>
        <v>5.9504401695467883E-2</v>
      </c>
      <c r="G22" s="46" t="s">
        <v>44</v>
      </c>
      <c r="H22" s="69" t="s">
        <v>45</v>
      </c>
      <c r="I22" s="67"/>
    </row>
    <row r="23" spans="2:9" ht="19.95" customHeight="1" x14ac:dyDescent="0.3">
      <c r="B23" s="3" t="s">
        <v>46</v>
      </c>
      <c r="C23" s="4">
        <f>COUNTIF('PO Tracker'!D4:D18,"ICs")</f>
        <v>3</v>
      </c>
      <c r="D23" s="5">
        <f>SUMIF('PO Tracker'!D4:D18,"ICs",'PO Tracker'!G4:G18)</f>
        <v>596000</v>
      </c>
      <c r="E23" s="32">
        <f>D23/SUM(D20:D26)</f>
        <v>0.32387783936528636</v>
      </c>
      <c r="G23" s="41" t="s">
        <v>47</v>
      </c>
      <c r="H23" s="73" t="s">
        <v>48</v>
      </c>
      <c r="I23" s="67"/>
    </row>
    <row r="24" spans="2:9" ht="19.95" customHeight="1" x14ac:dyDescent="0.3">
      <c r="B24" s="35" t="s">
        <v>49</v>
      </c>
      <c r="C24" s="34">
        <f>COUNTIF('PO Tracker'!D4:D18,"Memory")</f>
        <v>1</v>
      </c>
      <c r="D24" s="51">
        <f>SUMIF('PO Tracker'!D4:D18,"Memory",'PO Tracker'!G4:G18)</f>
        <v>210000</v>
      </c>
      <c r="E24" s="52">
        <f>D24/SUM(D20:D26)</f>
        <v>0.11411803064884252</v>
      </c>
      <c r="G24" s="46" t="s">
        <v>50</v>
      </c>
      <c r="H24" s="69" t="s">
        <v>51</v>
      </c>
      <c r="I24" s="67"/>
    </row>
    <row r="25" spans="2:9" ht="19.95" customHeight="1" x14ac:dyDescent="0.3">
      <c r="B25" s="53" t="s">
        <v>52</v>
      </c>
      <c r="C25" s="54">
        <f>COUNTIF('PO Tracker'!D4:D18,"Power")</f>
        <v>1</v>
      </c>
      <c r="D25" s="55">
        <f>SUMIF('PO Tracker'!D4:D18,"Power",'PO Tracker'!G4:G18)</f>
        <v>370000</v>
      </c>
      <c r="E25" s="56">
        <f>D25/SUM(D20:D26)</f>
        <v>0.2010651016193892</v>
      </c>
      <c r="G25" s="41" t="s">
        <v>53</v>
      </c>
      <c r="H25" s="73" t="s">
        <v>54</v>
      </c>
      <c r="I25" s="67"/>
    </row>
    <row r="26" spans="2:9" ht="19.95" customHeight="1" x14ac:dyDescent="0.3">
      <c r="B26" s="57" t="s">
        <v>55</v>
      </c>
      <c r="C26" s="58">
        <f>COUNTIF('PO Tracker'!D4:D18,"Protection")</f>
        <v>1</v>
      </c>
      <c r="D26" s="59">
        <f>SUMIF('PO Tracker'!D4:D18,"Protection",'PO Tracker'!G4:G18)</f>
        <v>44500</v>
      </c>
      <c r="E26" s="60">
        <f>D26/SUM(D20:D26)</f>
        <v>2.4182154113683296E-2</v>
      </c>
      <c r="G26" s="46" t="s">
        <v>56</v>
      </c>
      <c r="H26" s="69" t="s">
        <v>57</v>
      </c>
      <c r="I26" s="67"/>
    </row>
    <row r="27" spans="2:9" ht="19.95" customHeight="1" x14ac:dyDescent="0.3">
      <c r="B27" s="31" t="s">
        <v>29</v>
      </c>
      <c r="C27" s="31">
        <f>SUM(C20:C26)</f>
        <v>15</v>
      </c>
      <c r="D27" s="39">
        <f>SUM(D20:D26)</f>
        <v>1840200</v>
      </c>
      <c r="E27" s="31" t="s">
        <v>58</v>
      </c>
    </row>
  </sheetData>
  <mergeCells count="30">
    <mergeCell ref="H24:I24"/>
    <mergeCell ref="H23:I23"/>
    <mergeCell ref="F4:G4"/>
    <mergeCell ref="G10:I10"/>
    <mergeCell ref="H20:I20"/>
    <mergeCell ref="G18:I18"/>
    <mergeCell ref="H4:I4"/>
    <mergeCell ref="F7:G7"/>
    <mergeCell ref="H21:I21"/>
    <mergeCell ref="F5:G5"/>
    <mergeCell ref="B8:C8"/>
    <mergeCell ref="F8:G8"/>
    <mergeCell ref="H22:I22"/>
    <mergeCell ref="B7:C7"/>
    <mergeCell ref="H26:I26"/>
    <mergeCell ref="A1:J1"/>
    <mergeCell ref="B18:E18"/>
    <mergeCell ref="D7:E7"/>
    <mergeCell ref="H7:I7"/>
    <mergeCell ref="H19:I19"/>
    <mergeCell ref="D4:E4"/>
    <mergeCell ref="D8:E8"/>
    <mergeCell ref="B5:C5"/>
    <mergeCell ref="A2:J2"/>
    <mergeCell ref="D5:E5"/>
    <mergeCell ref="H5:I5"/>
    <mergeCell ref="H8:I8"/>
    <mergeCell ref="B10:E10"/>
    <mergeCell ref="B4:C4"/>
    <mergeCell ref="H25: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6B6B"/>
  </sheetPr>
  <dimension ref="A1:G19"/>
  <sheetViews>
    <sheetView showGridLines="0" workbookViewId="0">
      <selection activeCell="D20" sqref="D20"/>
    </sheetView>
  </sheetViews>
  <sheetFormatPr defaultRowHeight="14.4" x14ac:dyDescent="0.3"/>
  <cols>
    <col min="1" max="1" width="17.77734375" customWidth="1"/>
    <col min="2" max="2" width="24" customWidth="1"/>
    <col min="3" max="3" width="16" customWidth="1"/>
    <col min="4" max="4" width="14" customWidth="1"/>
    <col min="5" max="6" width="16" customWidth="1"/>
    <col min="7" max="7" width="12" customWidth="1"/>
  </cols>
  <sheetData>
    <row r="1" spans="1:7" ht="28.05" customHeight="1" x14ac:dyDescent="0.3">
      <c r="A1" s="88" t="s">
        <v>147</v>
      </c>
      <c r="B1" s="67"/>
      <c r="C1" s="67"/>
      <c r="D1" s="67"/>
      <c r="E1" s="67"/>
      <c r="F1" s="67"/>
      <c r="G1" s="67"/>
    </row>
    <row r="2" spans="1:7" ht="24" customHeight="1" x14ac:dyDescent="0.3">
      <c r="A2" s="1" t="s">
        <v>148</v>
      </c>
      <c r="B2" s="1" t="s">
        <v>61</v>
      </c>
      <c r="C2" s="1" t="s">
        <v>32</v>
      </c>
      <c r="D2" s="1" t="s">
        <v>149</v>
      </c>
      <c r="E2" s="1" t="s">
        <v>150</v>
      </c>
      <c r="F2" s="1" t="s">
        <v>151</v>
      </c>
      <c r="G2" s="1" t="s">
        <v>12</v>
      </c>
    </row>
    <row r="3" spans="1:7" ht="19.05" customHeight="1" x14ac:dyDescent="0.3">
      <c r="A3" s="61" t="s">
        <v>152</v>
      </c>
      <c r="B3" s="62" t="s">
        <v>71</v>
      </c>
      <c r="C3" s="61" t="s">
        <v>40</v>
      </c>
      <c r="D3" s="61" t="s">
        <v>153</v>
      </c>
      <c r="E3" s="61">
        <v>14</v>
      </c>
      <c r="F3" s="61" t="s">
        <v>154</v>
      </c>
      <c r="G3" s="61" t="s">
        <v>155</v>
      </c>
    </row>
    <row r="4" spans="1:7" ht="19.05" customHeight="1" x14ac:dyDescent="0.3">
      <c r="A4" s="9" t="s">
        <v>156</v>
      </c>
      <c r="B4" s="8" t="s">
        <v>78</v>
      </c>
      <c r="C4" s="9" t="s">
        <v>46</v>
      </c>
      <c r="D4" s="9" t="s">
        <v>157</v>
      </c>
      <c r="E4" s="9">
        <v>21</v>
      </c>
      <c r="F4" s="9" t="s">
        <v>158</v>
      </c>
      <c r="G4" s="9" t="s">
        <v>155</v>
      </c>
    </row>
    <row r="5" spans="1:7" ht="19.05" customHeight="1" x14ac:dyDescent="0.3">
      <c r="A5" s="61" t="s">
        <v>159</v>
      </c>
      <c r="B5" s="62" t="s">
        <v>85</v>
      </c>
      <c r="C5" s="61" t="s">
        <v>40</v>
      </c>
      <c r="D5" s="61" t="s">
        <v>157</v>
      </c>
      <c r="E5" s="61">
        <v>10</v>
      </c>
      <c r="F5" s="61" t="s">
        <v>154</v>
      </c>
      <c r="G5" s="61" t="s">
        <v>155</v>
      </c>
    </row>
    <row r="6" spans="1:7" ht="19.05" customHeight="1" x14ac:dyDescent="0.3">
      <c r="A6" s="9" t="s">
        <v>160</v>
      </c>
      <c r="B6" s="8" t="s">
        <v>20</v>
      </c>
      <c r="C6" s="9" t="s">
        <v>43</v>
      </c>
      <c r="D6" s="9" t="s">
        <v>157</v>
      </c>
      <c r="E6" s="9">
        <v>18</v>
      </c>
      <c r="F6" s="9" t="s">
        <v>154</v>
      </c>
      <c r="G6" s="9" t="s">
        <v>155</v>
      </c>
    </row>
    <row r="7" spans="1:7" ht="19.05" customHeight="1" x14ac:dyDescent="0.3">
      <c r="A7" s="61" t="s">
        <v>161</v>
      </c>
      <c r="B7" s="62" t="s">
        <v>95</v>
      </c>
      <c r="C7" s="61" t="s">
        <v>49</v>
      </c>
      <c r="D7" s="61" t="s">
        <v>162</v>
      </c>
      <c r="E7" s="61">
        <v>25</v>
      </c>
      <c r="F7" s="61" t="s">
        <v>163</v>
      </c>
      <c r="G7" s="61" t="s">
        <v>155</v>
      </c>
    </row>
    <row r="8" spans="1:7" ht="19.05" customHeight="1" x14ac:dyDescent="0.3">
      <c r="A8" s="9" t="s">
        <v>164</v>
      </c>
      <c r="B8" s="8" t="s">
        <v>24</v>
      </c>
      <c r="C8" s="9" t="s">
        <v>52</v>
      </c>
      <c r="D8" s="9" t="s">
        <v>165</v>
      </c>
      <c r="E8" s="9">
        <v>20</v>
      </c>
      <c r="F8" s="9" t="s">
        <v>158</v>
      </c>
      <c r="G8" s="9" t="s">
        <v>155</v>
      </c>
    </row>
    <row r="9" spans="1:7" ht="19.05" customHeight="1" x14ac:dyDescent="0.3">
      <c r="A9" s="61" t="s">
        <v>166</v>
      </c>
      <c r="B9" s="62" t="s">
        <v>104</v>
      </c>
      <c r="C9" s="61" t="s">
        <v>37</v>
      </c>
      <c r="D9" s="61" t="s">
        <v>157</v>
      </c>
      <c r="E9" s="61">
        <v>12</v>
      </c>
      <c r="F9" s="61" t="s">
        <v>154</v>
      </c>
      <c r="G9" s="61" t="s">
        <v>155</v>
      </c>
    </row>
    <row r="10" spans="1:7" ht="19.05" customHeight="1" x14ac:dyDescent="0.3">
      <c r="A10" s="34" t="s">
        <v>167</v>
      </c>
      <c r="B10" s="35" t="s">
        <v>26</v>
      </c>
      <c r="C10" s="34" t="s">
        <v>40</v>
      </c>
      <c r="D10" s="34" t="s">
        <v>157</v>
      </c>
      <c r="E10" s="34">
        <v>15</v>
      </c>
      <c r="F10" s="34" t="s">
        <v>154</v>
      </c>
      <c r="G10" s="63" t="s">
        <v>168</v>
      </c>
    </row>
    <row r="11" spans="1:7" ht="19.05" customHeight="1" x14ac:dyDescent="0.3">
      <c r="A11" s="61" t="s">
        <v>169</v>
      </c>
      <c r="B11" s="62" t="s">
        <v>114</v>
      </c>
      <c r="C11" s="61" t="s">
        <v>43</v>
      </c>
      <c r="D11" s="61" t="s">
        <v>170</v>
      </c>
      <c r="E11" s="61">
        <v>17</v>
      </c>
      <c r="F11" s="61" t="s">
        <v>154</v>
      </c>
      <c r="G11" s="61" t="s">
        <v>155</v>
      </c>
    </row>
    <row r="12" spans="1:7" ht="19.05" customHeight="1" x14ac:dyDescent="0.3">
      <c r="A12" s="9" t="s">
        <v>171</v>
      </c>
      <c r="B12" s="8" t="s">
        <v>28</v>
      </c>
      <c r="C12" s="9" t="s">
        <v>46</v>
      </c>
      <c r="D12" s="9" t="s">
        <v>170</v>
      </c>
      <c r="E12" s="9">
        <v>22</v>
      </c>
      <c r="F12" s="9" t="s">
        <v>158</v>
      </c>
      <c r="G12" s="9" t="s">
        <v>155</v>
      </c>
    </row>
    <row r="13" spans="1:7" ht="19.05" customHeight="1" x14ac:dyDescent="0.3">
      <c r="A13" s="61" t="s">
        <v>172</v>
      </c>
      <c r="B13" s="62" t="s">
        <v>123</v>
      </c>
      <c r="C13" s="61" t="s">
        <v>40</v>
      </c>
      <c r="D13" s="61" t="s">
        <v>153</v>
      </c>
      <c r="E13" s="61">
        <v>14</v>
      </c>
      <c r="F13" s="61" t="s">
        <v>154</v>
      </c>
      <c r="G13" s="61" t="s">
        <v>155</v>
      </c>
    </row>
    <row r="14" spans="1:7" ht="19.05" customHeight="1" x14ac:dyDescent="0.3">
      <c r="A14" s="9" t="s">
        <v>173</v>
      </c>
      <c r="B14" s="8" t="s">
        <v>127</v>
      </c>
      <c r="C14" s="9" t="s">
        <v>46</v>
      </c>
      <c r="D14" s="9" t="s">
        <v>174</v>
      </c>
      <c r="E14" s="9">
        <v>19</v>
      </c>
      <c r="F14" s="9" t="s">
        <v>158</v>
      </c>
      <c r="G14" s="9" t="s">
        <v>155</v>
      </c>
    </row>
    <row r="15" spans="1:7" ht="19.05" customHeight="1" x14ac:dyDescent="0.3">
      <c r="A15" s="61" t="s">
        <v>175</v>
      </c>
      <c r="B15" s="62" t="s">
        <v>131</v>
      </c>
      <c r="C15" s="61" t="s">
        <v>40</v>
      </c>
      <c r="D15" s="61" t="s">
        <v>165</v>
      </c>
      <c r="E15" s="61">
        <v>16</v>
      </c>
      <c r="F15" s="61" t="s">
        <v>154</v>
      </c>
      <c r="G15" s="61" t="s">
        <v>155</v>
      </c>
    </row>
    <row r="16" spans="1:7" ht="19.05" customHeight="1" x14ac:dyDescent="0.3">
      <c r="A16" s="9" t="s">
        <v>176</v>
      </c>
      <c r="B16" s="8" t="s">
        <v>136</v>
      </c>
      <c r="C16" s="9" t="s">
        <v>40</v>
      </c>
      <c r="D16" s="9" t="s">
        <v>157</v>
      </c>
      <c r="E16" s="9">
        <v>13</v>
      </c>
      <c r="F16" s="9" t="s">
        <v>154</v>
      </c>
      <c r="G16" s="9" t="s">
        <v>155</v>
      </c>
    </row>
    <row r="17" spans="1:7" ht="19.05" customHeight="1" x14ac:dyDescent="0.3">
      <c r="A17" s="61" t="s">
        <v>177</v>
      </c>
      <c r="B17" s="62" t="s">
        <v>141</v>
      </c>
      <c r="C17" s="61" t="s">
        <v>55</v>
      </c>
      <c r="D17" s="61" t="s">
        <v>157</v>
      </c>
      <c r="E17" s="61">
        <v>11</v>
      </c>
      <c r="F17" s="61" t="s">
        <v>154</v>
      </c>
      <c r="G17" s="61" t="s">
        <v>155</v>
      </c>
    </row>
    <row r="19" spans="1:7" ht="19.95" customHeight="1" x14ac:dyDescent="0.3">
      <c r="A19" s="64" t="s">
        <v>178</v>
      </c>
      <c r="B19" s="65">
        <f>COUNTIF(G3:G17,"Active")</f>
        <v>14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Tracker</vt:lpstr>
      <vt:lpstr>Dashboard</vt:lpstr>
      <vt:lpstr>Vendor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sreya ghosh</cp:lastModifiedBy>
  <dcterms:created xsi:type="dcterms:W3CDTF">2026-03-26T12:21:02Z</dcterms:created>
  <dcterms:modified xsi:type="dcterms:W3CDTF">2026-03-26T12:57:23Z</dcterms:modified>
</cp:coreProperties>
</file>